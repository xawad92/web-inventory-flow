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hoto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'Inventory'!$A$1:$R$1</definedName>
    <definedName name="_xlnm._FilterDatabase" localSheetId="2" hidden="1">'Photos'!$A$1:$J$1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৳#,##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D0102A"/>
    </font>
    <font>
      <b val="1"/>
    </font>
    <font>
      <b val="1"/>
      <color rgb="00FFFFFF"/>
      <sz val="11"/>
    </font>
    <font>
      <b val="1"/>
      <color rgb="00D0102A"/>
      <sz val="2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Bikes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00" customWidth="1" min="3" max="3"/>
  </cols>
  <sheetData>
    <row r="1">
      <c r="A1" s="1" t="inlineStr">
        <is>
          <t>TORQUE MOTO — GOOGLE SHEETS INVENTORY TEMPLATE</t>
        </is>
      </c>
    </row>
    <row r="3">
      <c r="A3" s="2" t="inlineStr">
        <is>
          <t>1</t>
        </is>
      </c>
      <c r="B3" s="3" t="inlineStr">
        <is>
          <t>Inventory</t>
        </is>
      </c>
      <c r="C3" s="4" t="inlineStr">
        <is>
          <t>One row per motorcycle. Keep sold bikes; change Status to Sold.</t>
        </is>
      </c>
    </row>
    <row r="4">
      <c r="A4" s="2" t="inlineStr">
        <is>
          <t>2</t>
        </is>
      </c>
      <c r="B4" s="3" t="inlineStr">
        <is>
          <t>Status</t>
        </is>
      </c>
      <c r="C4" s="4" t="inlineStr">
        <is>
          <t>Dropdown: Available / Reserved / Sold.</t>
        </is>
      </c>
    </row>
    <row r="5">
      <c r="A5" s="2" t="inlineStr">
        <is>
          <t>3</t>
        </is>
      </c>
      <c r="B5" s="3" t="inlineStr">
        <is>
          <t>Featured</t>
        </is>
      </c>
      <c r="C5" s="4" t="inlineStr">
        <is>
          <t>Yes = eligible for homepage Featured Bikes.</t>
        </is>
      </c>
    </row>
    <row r="6">
      <c r="A6" s="2" t="inlineStr">
        <is>
          <t>4</t>
        </is>
      </c>
      <c r="B6" s="3" t="inlineStr">
        <is>
          <t>Photos</t>
        </is>
      </c>
      <c r="C6" s="4" t="inlineStr">
        <is>
          <t>Enter photo URLs against the matching bike_id.</t>
        </is>
      </c>
    </row>
    <row r="7">
      <c r="A7" s="2" t="inlineStr">
        <is>
          <t>5</t>
        </is>
      </c>
      <c r="B7" s="3" t="inlineStr">
        <is>
          <t>Price</t>
        </is>
      </c>
      <c r="C7" s="4" t="inlineStr">
        <is>
          <t>Enter numbers only, e.g. 425000. The sheet formats them as ৳.</t>
        </is>
      </c>
    </row>
    <row r="8">
      <c r="A8" s="2" t="inlineStr">
        <is>
          <t>6</t>
        </is>
      </c>
      <c r="B8" s="3" t="inlineStr">
        <is>
          <t>Dashboard</t>
        </is>
      </c>
      <c r="C8" s="4" t="inlineStr">
        <is>
          <t>Shows stock, availability, reserved, sold, featured and inventory value.</t>
        </is>
      </c>
    </row>
    <row r="9">
      <c r="A9" s="2" t="inlineStr">
        <is>
          <t>7</t>
        </is>
      </c>
      <c r="B9" s="3" t="inlineStr">
        <is>
          <t>Website</t>
        </is>
      </c>
      <c r="C9" s="4" t="inlineStr">
        <is>
          <t>The future website script will read Inventory + Photos and generate bike cards/details.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48" customWidth="1" min="13" max="13"/>
    <col width="14" customWidth="1" min="14" max="14"/>
    <col width="12" customWidth="1" min="15" max="15"/>
    <col width="48" customWidth="1" min="16" max="16"/>
    <col width="12" customWidth="1" min="17" max="17"/>
    <col width="14" customWidth="1" min="18" max="18"/>
  </cols>
  <sheetData>
    <row r="1" ht="28" customHeight="1">
      <c r="A1" s="5" t="inlineStr">
        <is>
          <t>bike_id</t>
        </is>
      </c>
      <c r="B1" s="5" t="inlineStr">
        <is>
          <t>brand</t>
        </is>
      </c>
      <c r="C1" s="5" t="inlineStr">
        <is>
          <t>model</t>
        </is>
      </c>
      <c r="D1" s="5" t="inlineStr">
        <is>
          <t>year</t>
        </is>
      </c>
      <c r="E1" s="5" t="inlineStr">
        <is>
          <t>price</t>
        </is>
      </c>
      <c r="F1" s="5" t="inlineStr">
        <is>
          <t>mileage</t>
        </is>
      </c>
      <c r="G1" s="5" t="inlineStr">
        <is>
          <t>engine</t>
        </is>
      </c>
      <c r="H1" s="5" t="inlineStr">
        <is>
          <t>registration</t>
        </is>
      </c>
      <c r="I1" s="5" t="inlineStr">
        <is>
          <t>color</t>
        </is>
      </c>
      <c r="J1" s="5" t="inlineStr">
        <is>
          <t>condition</t>
        </is>
      </c>
      <c r="K1" s="5" t="inlineStr">
        <is>
          <t>ownership</t>
        </is>
      </c>
      <c r="L1" s="5" t="inlineStr">
        <is>
          <t>papers</t>
        </is>
      </c>
      <c r="M1" s="5" t="inlineStr">
        <is>
          <t>description</t>
        </is>
      </c>
      <c r="N1" s="5" t="inlineStr">
        <is>
          <t>status</t>
        </is>
      </c>
      <c r="O1" s="5" t="inlineStr">
        <is>
          <t>featured</t>
        </is>
      </c>
      <c r="P1" s="5" t="inlineStr">
        <is>
          <t>main_image</t>
        </is>
      </c>
      <c r="Q1" s="5" t="inlineStr">
        <is>
          <t>whatsapp</t>
        </is>
      </c>
      <c r="R1" s="5" t="inlineStr">
        <is>
          <t>date_added</t>
        </is>
      </c>
    </row>
    <row r="2">
      <c r="A2" s="6" t="inlineStr">
        <is>
          <t>TM001</t>
        </is>
      </c>
      <c r="B2" s="6" t="inlineStr">
        <is>
          <t>Honda</t>
        </is>
      </c>
      <c r="C2" s="6" t="inlineStr">
        <is>
          <t>NX200</t>
        </is>
      </c>
      <c r="D2" s="6" t="n">
        <v>2024</v>
      </c>
      <c r="E2" s="7" t="n">
        <v>425000</v>
      </c>
      <c r="F2" s="8" t="n">
        <v>8500</v>
      </c>
      <c r="G2" s="6" t="inlineStr">
        <is>
          <t>184cc</t>
        </is>
      </c>
      <c r="H2" s="6" t="inlineStr">
        <is>
          <t>Dhaka</t>
        </is>
      </c>
      <c r="I2" s="6" t="inlineStr">
        <is>
          <t>Red / Black</t>
        </is>
      </c>
      <c r="J2" s="6" t="inlineStr">
        <is>
          <t>Excellent</t>
        </is>
      </c>
      <c r="K2" s="6" t="inlineStr">
        <is>
          <t>1st Owner</t>
        </is>
      </c>
      <c r="L2" s="6" t="inlineStr">
        <is>
          <t>Complete</t>
        </is>
      </c>
      <c r="M2" s="6" t="inlineStr">
        <is>
          <t>চমৎকার কন্ডিশনের Honda NX200। ইঞ্জিন ও কাগজপত্র যাচাই করা হয়েছে.</t>
        </is>
      </c>
      <c r="N2" s="6" t="inlineStr">
        <is>
          <t>Available</t>
        </is>
      </c>
      <c r="O2" s="6" t="inlineStr">
        <is>
          <t>Yes</t>
        </is>
      </c>
      <c r="P2" s="6" t="inlineStr"/>
      <c r="Q2" s="6" t="inlineStr">
        <is>
          <t>Yes</t>
        </is>
      </c>
      <c r="R2" s="9" t="n">
        <v>46267</v>
      </c>
    </row>
    <row r="3">
      <c r="A3" s="6" t="inlineStr">
        <is>
          <t>TM002</t>
        </is>
      </c>
      <c r="B3" s="6" t="inlineStr">
        <is>
          <t>Yamaha</t>
        </is>
      </c>
      <c r="C3" s="6" t="inlineStr">
        <is>
          <t>R15 V4</t>
        </is>
      </c>
      <c r="D3" s="6" t="n">
        <v>2023</v>
      </c>
      <c r="E3" s="7" t="n">
        <v>495000</v>
      </c>
      <c r="F3" s="8" t="n">
        <v>12300</v>
      </c>
      <c r="G3" s="6" t="inlineStr">
        <is>
          <t>155cc</t>
        </is>
      </c>
      <c r="H3" s="6" t="inlineStr">
        <is>
          <t>Dhaka</t>
        </is>
      </c>
      <c r="I3" s="6" t="inlineStr">
        <is>
          <t>Blue</t>
        </is>
      </c>
      <c r="J3" s="6" t="inlineStr">
        <is>
          <t>Very Good</t>
        </is>
      </c>
      <c r="K3" s="6" t="inlineStr">
        <is>
          <t>1st Owner</t>
        </is>
      </c>
      <c r="L3" s="6" t="inlineStr">
        <is>
          <t>Complete</t>
        </is>
      </c>
      <c r="M3" s="6" t="inlineStr">
        <is>
          <t>ভালো কন্ডিশনের Yamaha R15 V4।</t>
        </is>
      </c>
      <c r="N3" s="6" t="inlineStr">
        <is>
          <t>Available</t>
        </is>
      </c>
      <c r="O3" s="6" t="inlineStr">
        <is>
          <t>Yes</t>
        </is>
      </c>
      <c r="P3" s="6" t="inlineStr"/>
      <c r="Q3" s="6" t="inlineStr">
        <is>
          <t>Yes</t>
        </is>
      </c>
      <c r="R3" s="9" t="n">
        <v>46267</v>
      </c>
    </row>
    <row r="4">
      <c r="A4" s="6" t="inlineStr">
        <is>
          <t>TM003</t>
        </is>
      </c>
      <c r="B4" s="6" t="inlineStr">
        <is>
          <t>Kawasaki</t>
        </is>
      </c>
      <c r="C4" s="6" t="inlineStr">
        <is>
          <t>Ninja 400</t>
        </is>
      </c>
      <c r="D4" s="6" t="n">
        <v>2022</v>
      </c>
      <c r="E4" s="7" t="n">
        <v>720000</v>
      </c>
      <c r="F4" s="8" t="n">
        <v>9200</v>
      </c>
      <c r="G4" s="6" t="inlineStr">
        <is>
          <t>399cc</t>
        </is>
      </c>
      <c r="H4" s="6" t="inlineStr">
        <is>
          <t>Dhaka</t>
        </is>
      </c>
      <c r="I4" s="6" t="inlineStr">
        <is>
          <t>Green</t>
        </is>
      </c>
      <c r="J4" s="6" t="inlineStr">
        <is>
          <t>Excellent</t>
        </is>
      </c>
      <c r="K4" s="6" t="inlineStr">
        <is>
          <t>2nd Owner</t>
        </is>
      </c>
      <c r="L4" s="6" t="inlineStr">
        <is>
          <t>Complete</t>
        </is>
      </c>
      <c r="M4" s="6" t="inlineStr">
        <is>
          <t>চমৎকার কন্ডিশনের Kawasaki Ninja 400।</t>
        </is>
      </c>
      <c r="N4" s="6" t="inlineStr">
        <is>
          <t>Sold</t>
        </is>
      </c>
      <c r="O4" s="6" t="inlineStr">
        <is>
          <t>No</t>
        </is>
      </c>
      <c r="P4" s="6" t="inlineStr"/>
      <c r="Q4" s="6" t="inlineStr">
        <is>
          <t>Yes</t>
        </is>
      </c>
      <c r="R4" s="9" t="n">
        <v>46267</v>
      </c>
    </row>
    <row r="5">
      <c r="A5" s="6" t="inlineStr">
        <is>
          <t>TM004</t>
        </is>
      </c>
      <c r="B5" s="6" t="inlineStr">
        <is>
          <t>Suzuki</t>
        </is>
      </c>
      <c r="C5" s="6" t="inlineStr">
        <is>
          <t>Gixxer SF</t>
        </is>
      </c>
      <c r="D5" s="6" t="n">
        <v>2023</v>
      </c>
      <c r="E5" s="7" t="n">
        <v>310000</v>
      </c>
      <c r="F5" s="8" t="n">
        <v>15600</v>
      </c>
      <c r="G5" s="6" t="inlineStr">
        <is>
          <t>155cc</t>
        </is>
      </c>
      <c r="H5" s="6" t="inlineStr">
        <is>
          <t>Dhaka</t>
        </is>
      </c>
      <c r="I5" s="6" t="inlineStr">
        <is>
          <t>Black</t>
        </is>
      </c>
      <c r="J5" s="6" t="inlineStr">
        <is>
          <t>Good</t>
        </is>
      </c>
      <c r="K5" s="6" t="inlineStr">
        <is>
          <t>1st Owner</t>
        </is>
      </c>
      <c r="L5" s="6" t="inlineStr">
        <is>
          <t>Complete</t>
        </is>
      </c>
      <c r="M5" s="6" t="inlineStr">
        <is>
          <t>সাশ্রয়ী মূল্যে ভালো কন্ডিশনের Suzuki Gixxer SF।</t>
        </is>
      </c>
      <c r="N5" s="6" t="inlineStr">
        <is>
          <t>Reserved</t>
        </is>
      </c>
      <c r="O5" s="6" t="inlineStr">
        <is>
          <t>No</t>
        </is>
      </c>
      <c r="P5" s="6" t="inlineStr"/>
      <c r="Q5" s="6" t="inlineStr">
        <is>
          <t>Yes</t>
        </is>
      </c>
      <c r="R5" s="9" t="n">
        <v>46267</v>
      </c>
    </row>
  </sheetData>
  <autoFilter ref="A1:R1"/>
  <conditionalFormatting sqref="N2:N1000">
    <cfRule type="expression" priority="1" dxfId="0">
      <formula>$N2="Available"</formula>
    </cfRule>
    <cfRule type="expression" priority="2" dxfId="1">
      <formula>$N2="Reserved"</formula>
    </cfRule>
    <cfRule type="expression" priority="3" dxfId="2">
      <formula>$N2="Sold"</formula>
    </cfRule>
  </conditionalFormatting>
  <dataValidations count="6">
    <dataValidation sqref="N2:N1000" showDropDown="0" showInputMessage="0" showErrorMessage="0" allowBlank="1" type="list">
      <formula1>='Settings'!$A$2:$A$4</formula1>
    </dataValidation>
    <dataValidation sqref="O2:O1000" showDropDown="0" showInputMessage="0" showErrorMessage="0" allowBlank="1" type="list">
      <formula1>='Settings'!$B$2:$B$3</formula1>
    </dataValidation>
    <dataValidation sqref="J2:J1000" showDropDown="0" showInputMessage="0" showErrorMessage="0" allowBlank="1" type="list">
      <formula1>='Settings'!$C$2:$C$4</formula1>
    </dataValidation>
    <dataValidation sqref="K2:K1000" showDropDown="0" showInputMessage="0" showErrorMessage="0" allowBlank="1" type="list">
      <formula1>='Settings'!$D$2:$D$4</formula1>
    </dataValidation>
    <dataValidation sqref="L2:L1000" showDropDown="0" showInputMessage="0" showErrorMessage="0" allowBlank="1" type="list">
      <formula1>='Settings'!$E$2:$E$4</formula1>
    </dataValidation>
    <dataValidation sqref="Q2:Q1000" showDropDown="0" showInputMessage="0" showErrorMessage="0" allowBlank="1" type="list">
      <formula1>='Settings'!$F$2:$F$3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2" customWidth="1" min="10" max="10"/>
  </cols>
  <sheetData>
    <row r="1">
      <c r="A1" s="5" t="inlineStr">
        <is>
          <t>bike_id</t>
        </is>
      </c>
      <c r="B1" s="5" t="inlineStr">
        <is>
          <t>image_1</t>
        </is>
      </c>
      <c r="C1" s="5" t="inlineStr">
        <is>
          <t>image_2</t>
        </is>
      </c>
      <c r="D1" s="5" t="inlineStr">
        <is>
          <t>image_3</t>
        </is>
      </c>
      <c r="E1" s="5" t="inlineStr">
        <is>
          <t>image_4</t>
        </is>
      </c>
      <c r="F1" s="5" t="inlineStr">
        <is>
          <t>image_5</t>
        </is>
      </c>
      <c r="G1" s="5" t="inlineStr">
        <is>
          <t>image_6</t>
        </is>
      </c>
      <c r="H1" s="5" t="inlineStr">
        <is>
          <t>image_7</t>
        </is>
      </c>
      <c r="I1" s="5" t="inlineStr">
        <is>
          <t>image_8</t>
        </is>
      </c>
      <c r="J1" s="5" t="inlineStr">
        <is>
          <t>notes</t>
        </is>
      </c>
    </row>
    <row r="2">
      <c r="A2" t="inlineStr">
        <is>
          <t>TM001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Front, side, rear, dashboard, engine</t>
        </is>
      </c>
    </row>
    <row r="3">
      <c r="A3" t="inlineStr">
        <is>
          <t>TM002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TM003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TM004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Status</t>
        </is>
      </c>
      <c r="B1" s="5" t="inlineStr">
        <is>
          <t>Featured</t>
        </is>
      </c>
      <c r="C1" s="5" t="inlineStr">
        <is>
          <t>Condition</t>
        </is>
      </c>
      <c r="D1" s="5" t="inlineStr">
        <is>
          <t>Ownership</t>
        </is>
      </c>
      <c r="E1" s="5" t="inlineStr">
        <is>
          <t>Papers</t>
        </is>
      </c>
      <c r="F1" s="5" t="inlineStr">
        <is>
          <t>WhatsApp</t>
        </is>
      </c>
    </row>
    <row r="2">
      <c r="A2" t="inlineStr">
        <is>
          <t>Available</t>
        </is>
      </c>
      <c r="B2" t="inlineStr">
        <is>
          <t>Yes</t>
        </is>
      </c>
      <c r="C2" t="inlineStr">
        <is>
          <t>Excellent</t>
        </is>
      </c>
      <c r="D2" t="inlineStr">
        <is>
          <t>1st Owner</t>
        </is>
      </c>
      <c r="E2" t="inlineStr">
        <is>
          <t>Complete</t>
        </is>
      </c>
      <c r="F2" t="inlineStr">
        <is>
          <t>Yes</t>
        </is>
      </c>
    </row>
    <row r="3">
      <c r="A3" t="inlineStr">
        <is>
          <t>Reserved</t>
        </is>
      </c>
      <c r="B3" t="inlineStr">
        <is>
          <t>No</t>
        </is>
      </c>
      <c r="C3" t="inlineStr">
        <is>
          <t>Very Good</t>
        </is>
      </c>
      <c r="D3" t="inlineStr">
        <is>
          <t>2nd Owner</t>
        </is>
      </c>
      <c r="E3" t="inlineStr">
        <is>
          <t>Pending</t>
        </is>
      </c>
      <c r="F3" t="inlineStr">
        <is>
          <t>No</t>
        </is>
      </c>
    </row>
    <row r="4">
      <c r="A4" t="inlineStr">
        <is>
          <t>Sold</t>
        </is>
      </c>
      <c r="B4" t="inlineStr"/>
      <c r="C4" t="inlineStr">
        <is>
          <t>Good</t>
        </is>
      </c>
      <c r="D4" t="inlineStr">
        <is>
          <t>3rd Owner</t>
        </is>
      </c>
      <c r="E4" t="inlineStr">
        <is>
          <t>Incomplete</t>
        </is>
      </c>
      <c r="F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TORQUE MOTO — INVENTORY DASHBOARD</t>
        </is>
      </c>
    </row>
    <row r="3">
      <c r="A3" s="3" t="inlineStr">
        <is>
          <t>Total Bikes</t>
        </is>
      </c>
      <c r="C3" s="3" t="inlineStr">
        <is>
          <t>Available</t>
        </is>
      </c>
      <c r="E3" s="3" t="inlineStr">
        <is>
          <t>Reserved</t>
        </is>
      </c>
    </row>
    <row r="4">
      <c r="A4" s="10">
        <f>COUNTA(Inventory!A2:A1000)</f>
        <v/>
      </c>
      <c r="C4" s="10">
        <f>COUNTIF(Inventory!N2:N1000,"Available")</f>
        <v/>
      </c>
      <c r="E4" s="10">
        <f>COUNTIF(Inventory!N2:N1000,"Reserved")</f>
        <v/>
      </c>
    </row>
    <row r="6">
      <c r="A6" s="3" t="inlineStr">
        <is>
          <t>Sold</t>
        </is>
      </c>
      <c r="C6" s="3" t="inlineStr">
        <is>
          <t>Featured Available</t>
        </is>
      </c>
      <c r="E6" s="3" t="inlineStr">
        <is>
          <t>Inventory Value</t>
        </is>
      </c>
    </row>
    <row r="7">
      <c r="A7" s="10">
        <f>COUNTIF(Inventory!N2:N1000,"Sold")</f>
        <v/>
      </c>
      <c r="C7" s="10">
        <f>COUNTIFS(Inventory!N2:N1000,"Available",Inventory!O2:O1000,"Yes")</f>
        <v/>
      </c>
      <c r="E7" s="11">
        <f>SUMIF(Inventory!N2:N1000,"Available",Inventory!E2:E1000)</f>
        <v/>
      </c>
    </row>
    <row r="10">
      <c r="A10" t="inlineStr">
        <is>
          <t>Status</t>
        </is>
      </c>
      <c r="B10" t="inlineStr">
        <is>
          <t>Count</t>
        </is>
      </c>
    </row>
    <row r="11">
      <c r="A11" t="inlineStr">
        <is>
          <t>Available</t>
        </is>
      </c>
      <c r="B11">
        <f>COUNTIF(Inventory!N2:N1000,"Available")</f>
        <v/>
      </c>
    </row>
    <row r="12">
      <c r="A12" t="inlineStr">
        <is>
          <t>Reserved</t>
        </is>
      </c>
      <c r="B12">
        <f>COUNTIF(Inventory!N2:N1000,"Reserved")</f>
        <v/>
      </c>
    </row>
    <row r="13">
      <c r="A13" t="inlineStr">
        <is>
          <t>Sold</t>
        </is>
      </c>
      <c r="B13">
        <f>COUNTIF(Inventory!N2:N1000,"Sold")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2026-09-02T08:34:46Z</dcterms:created>
  <dcterms:modified xmlns:dcterms="http://purl.org/dc/terms/" xmlns:xsi="http://www.w3.org/2001/XMLSchema-instance" xsi:type="dcterms:W3CDTF">2026-09-02T08:34:46Z</dcterms:modified>
</cp:coreProperties>
</file>